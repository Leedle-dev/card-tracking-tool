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f78c3872f46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34a3622ce64dfe"/>
    <x:sheet xmlns:r="http://schemas.openxmlformats.org/officeDocument/2006/relationships" name="Grade Detail" sheetId="2" r:id="R5b480983e472401a"/>
    <x:sheet xmlns:r="http://schemas.openxmlformats.org/officeDocument/2006/relationships" name="Sources" sheetId="3" r:id="Rb8443fa6bd0044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0" xfId="0" applyNumberFormat="1" applyFont="1" applyFill="1" applyBorder="1"/>
    <x:xf numFmtId="200" fontId="3" fillId="3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558a3fa6a54cc2" /><Relationship Type="http://schemas.openxmlformats.org/officeDocument/2006/relationships/theme" Target="/xl/theme/theme1.xml" Id="Re074ddcaa0974845" /><Relationship Type="http://schemas.openxmlformats.org/officeDocument/2006/relationships/sharedStrings" Target="/xl/sharedStrings.xml" Id="Rea860ca3b6ba42f3" /><Relationship Type="http://schemas.openxmlformats.org/officeDocument/2006/relationships/worksheet" Target="/xl/worksheets/sheet1.xml" Id="R8c34a3622ce64dfe" /><Relationship Type="http://schemas.openxmlformats.org/officeDocument/2006/relationships/worksheet" Target="/xl/worksheets/sheet2.xml" Id="R5b480983e472401a" /><Relationship Type="http://schemas.openxmlformats.org/officeDocument/2006/relationships/worksheet" Target="/xl/worksheets/sheet3.xml" Id="Rb8443fa6bd00441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8c740968f2345f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Expected Gross Contribution by Grade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Expected gross</c:v>
          </c:tx>
          <c:cat>
            <c:strRef>
              <c:f>'Grade Detail'!$A$15:$A$22</c:f>
              <c:strCache>
                <c:ptCount val="0"/>
              </c:strCache>
            </c:strRef>
          </c:cat>
          <c:val>
            <c:numRef>
              <c:f>'Grade Detail'!$B$15:$B$22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11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c740968f2345f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79545fbd54542f8" /></Relationships>
</file>

<file path=xl/worksheets/sheet1.xml><?xml version="1.0" encoding="utf-8"?>
<x:worksheet xmlns:x="http://schemas.openxmlformats.org/spreadsheetml/2006/main">
  <x:sheetFormatPr defaultRowHeight="15"/>
  <x:cols>
    <x:col min="1" max="1" width="26.25" hidden="0" customWidth="1"/>
    <x:col min="2" max="2" width="65" hidden="0" customWidth="1"/>
    <x:col min="3" max="3" width="3.75" hidden="0" customWidth="1"/>
    <x:col min="4" max="4" width="28.75" hidden="0" customWidth="1"/>
    <x:col min="5" max="5" width="18.75" hidden="0" customWidth="1"/>
    <x:col min="6" max="6" width="5" hidden="0" customWidth="1"/>
  </x:cols>
  <x:sheetData>
    <x:row r="1">
      <x:c r="A1" s="12" t="str">
        <x:v>Houndoom Grading EV Report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>
      <x:c r="A3" s="14" t="str">
        <x:v>Target card</x:v>
      </x:c>
      <x:c r="B3" s="14" t="str">
        <x:v>Simplified Chinese Gem Pack Vol. 5 Houndoom 0807/07</x:v>
      </x:c>
      <x:c r="C3" s="13"/>
      <x:c r="D3" s="14" t="str">
        <x:v>Expected graded gross</x:v>
      </x:c>
      <x:c r="E3" s="15" t="n">
        <x:f>'Grade Detail'!I12</x:f>
        <x:v>32.68093</x:v>
      </x:c>
      <x:c r="F3" s="13"/>
      <x:c r="G3" s="13"/>
      <x:c r="H3" s="13"/>
      <x:c r="I3" s="13"/>
      <x:c r="J3" s="13"/>
      <x:c r="K3" s="13"/>
    </x:row>
    <x:row r="4">
      <x:c r="A4" s="13" t="str">
        <x:v>Probability prior</x:v>
      </x:c>
      <x:c r="B4" s="13" t="str">
        <x:v>Japanese Night Wanderer Houndoom 066/064 BGS population snapshot</x:v>
      </x:c>
      <x:c r="C4" s="13"/>
      <x:c r="D4" s="13" t="str">
        <x:v>Expected graded selling fees</x:v>
      </x:c>
      <x:c r="E4" s="16" t="n">
        <x:f>'Grade Detail'!J12</x:f>
        <x:v>4.330223225</x:v>
      </x:c>
      <x:c r="F4" s="13"/>
      <x:c r="G4" s="13"/>
      <x:c r="H4" s="13"/>
      <x:c r="I4" s="13"/>
      <x:c r="J4" s="13"/>
      <x:c r="K4" s="13"/>
    </x:row>
    <x:row r="5">
      <x:c r="A5" s="13" t="str">
        <x:v>Value curve</x:v>
      </x:c>
      <x:c r="B5" s="13" t="str">
        <x:v>Japanese Night Wanderer Houndoom 066/064 BGS pricing records</x:v>
      </x:c>
      <x:c r="C5" s="13"/>
      <x:c r="D5" s="13" t="str">
        <x:v>Expected graded net</x:v>
      </x:c>
      <x:c r="E5" s="16" t="n">
        <x:f>E3-E4-B12</x:f>
        <x:v>10.100706774999995</x:v>
      </x:c>
      <x:c r="F5" s="13"/>
      <x:c r="G5" s="13"/>
      <x:c r="H5" s="13"/>
      <x:c r="I5" s="13"/>
      <x:c r="J5" s="13"/>
      <x:c r="K5" s="13"/>
    </x:row>
    <x:row r="6">
      <x:c r="A6" s="13" t="str">
        <x:v>Raw sale price</x:v>
      </x:c>
      <x:c r="B6" s="16" t="n">
        <x:v>11</x:v>
      </x:c>
      <x:c r="C6" s="13"/>
      <x:c r="D6" s="13" t="str">
        <x:v>Expected raw net</x:v>
      </x:c>
      <x:c r="E6" s="16" t="n">
        <x:f>B8</x:f>
        <x:v>9.542499999999999</x:v>
      </x:c>
      <x:c r="F6" s="13"/>
      <x:c r="G6" s="13"/>
      <x:c r="H6" s="13"/>
      <x:c r="I6" s="13"/>
      <x:c r="J6" s="13"/>
      <x:c r="K6" s="13"/>
    </x:row>
    <x:row r="7">
      <x:c r="A7" s="13" t="str">
        <x:v>Raw marketplace fee rate</x:v>
      </x:c>
      <x:c r="B7" s="17" t="n">
        <x:v>0.1325</x:v>
      </x:c>
      <x:c r="C7" s="13"/>
      <x:c r="D7" s="13" t="str">
        <x:v>EV delta</x:v>
      </x:c>
      <x:c r="E7" s="16" t="n">
        <x:f>E5-E6</x:f>
        <x:v>0.5582067749999968</x:v>
      </x:c>
      <x:c r="F7" s="13"/>
      <x:c r="G7" s="13"/>
      <x:c r="H7" s="13"/>
      <x:c r="I7" s="13"/>
      <x:c r="J7" s="13"/>
      <x:c r="K7" s="13"/>
    </x:row>
    <x:row r="8">
      <x:c r="A8" s="13" t="str">
        <x:v>Raw net</x:v>
      </x:c>
      <x:c r="B8" s="16" t="n">
        <x:f>B6*(1-B7)</x:f>
        <x:v>9.542499999999999</x:v>
      </x:c>
      <x:c r="C8" s="13"/>
      <x:c r="D8" s="13" t="str">
        <x:v>Direction</x:v>
      </x:c>
      <x:c r="E8" s="13" t="str">
        <x:f>IF(E7&gt;0,"Positive",IF(E7&lt;0,"Negative","Breakeven"))</x:f>
        <x:v>Positive</x:v>
      </x:c>
      <x:c r="F8" s="13"/>
      <x:c r="G8" s="13"/>
      <x:c r="H8" s="13"/>
      <x:c r="I8" s="13"/>
      <x:c r="J8" s="13"/>
      <x:c r="K8" s="13"/>
    </x:row>
    <x:row r="9">
      <x:c r="A9" s="13" t="str">
        <x:v>BGS grading fee</x:v>
      </x:c>
      <x:c r="B9" s="16" t="n">
        <x:v>15</x:v>
      </x:c>
      <x:c r="C9" s="13"/>
      <x:c r="D9" s="13"/>
      <x:c r="E9" s="13"/>
      <x:c r="F9" s="13"/>
      <x:c r="G9" s="13"/>
      <x:c r="H9" s="13"/>
      <x:c r="I9" s="13"/>
      <x:c r="J9" s="13"/>
      <x:c r="K9" s="13"/>
    </x:row>
    <x:row r="10">
      <x:c r="A10" s="13" t="str">
        <x:v>Inbound shipping allocation</x:v>
      </x:c>
      <x:c r="B10" s="16" t="n">
        <x:v>1.25</x:v>
      </x:c>
      <x:c r="C10" s="13"/>
      <x:c r="D10" s="13"/>
      <x:c r="E10" s="13"/>
      <x:c r="F10" s="13"/>
      <x:c r="G10" s="13"/>
      <x:c r="H10" s="13"/>
      <x:c r="I10" s="13"/>
      <x:c r="J10" s="13"/>
      <x:c r="K10" s="13"/>
    </x:row>
    <x:row r="11">
      <x:c r="A11" s="13" t="str">
        <x:v>Return shipping allocation</x:v>
      </x:c>
      <x:c r="B11" s="16" t="n">
        <x:v>2</x:v>
      </x:c>
      <x:c r="C11" s="13"/>
      <x:c r="D11" s="13"/>
      <x:c r="E11" s="13"/>
      <x:c r="F11" s="13"/>
      <x:c r="G11" s="13"/>
      <x:c r="H11" s="13"/>
      <x:c r="I11" s="13"/>
      <x:c r="J11" s="13"/>
      <x:c r="K11" s="13"/>
    </x:row>
    <x:row r="12">
      <x:c r="A12" s="13" t="str">
        <x:v>Total grading cost</x:v>
      </x:c>
      <x:c r="B12" s="16" t="n">
        <x:f>SUM(B9:B11)</x:f>
        <x:v>18.25</x:v>
      </x:c>
      <x:c r="C12" s="13"/>
      <x:c r="D12" s="13"/>
      <x:c r="E12" s="13"/>
      <x:c r="F12" s="13"/>
      <x:c r="G12" s="13"/>
      <x:c r="H12" s="13"/>
      <x:c r="I12" s="13"/>
      <x:c r="J12" s="13"/>
      <x:c r="K12" s="13"/>
    </x:row>
    <x:row r="13">
      <x:c r="A13" s="13" t="str">
        <x:v>Graded sale shipping</x:v>
      </x:c>
      <x:c r="B13" s="16" t="n">
        <x:v>5</x:v>
      </x:c>
      <x:c r="C13" s="13"/>
      <x:c r="D13" s="13"/>
      <x:c r="E13" s="13"/>
      <x:c r="F13" s="13"/>
      <x:c r="G13" s="13"/>
      <x:c r="H13" s="13"/>
      <x:c r="I13" s="13"/>
      <x:c r="J13" s="13"/>
      <x:c r="K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</x:row>
    <x:row r="15">
      <x:c r="A15" s="13" t="str">
        <x:v>Interpretation</x:v>
      </x:c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</x:row>
    <x:row r="16">
      <x:c r="A16" s="13" t="str">
        <x:v>This is a first-pass model, not a final grading recommendation.</x:v>
      </x:c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</x:row>
    <x:row r="17">
      <x:c r="A17" s="13" t="str">
        <x:v>The S-Chinese card uses Japanese Houndoom BGS grade rates as a proxy because direct Chinese population data is sparse.</x:v>
      </x:c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</x:row>
    <x:row r="18">
      <x:c r="A18" s="13" t="str">
        <x:v>The model is barely positive before liquidity or confidence haircuts.</x:v>
      </x:c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</x:row>
    <x:row r="19">
      <x:c r="A19" s="13" t="str">
        <x:v>BGS 9.5 uses only explicit BGS 9.5 sold comps, not PriceCharting's mixed Grade 9.5 bucket.</x:v>
      </x:c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</x:row>
    <x:row r="20">
      <x:c r="A20" s="13" t="str">
        <x:v>BGS 10 and Black Label values are provisional PriceCharting guide estimates and should be rechecked manually.</x:v>
      </x:c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</x:row>
    <x:row r="21">
      <x:c r="A21" s="13" t="str">
        <x:v>Low-grade outcomes currently fall back to Japanese raw value because BGS 9-or-lower prices were not seeded.</x:v>
      </x:c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</x:row>
  </x:sheetData>
  <x:mergeCells>
    <x:mergeCell ref="A1:F1"/>
    <x:mergeCell ref="A15:F15"/>
    <x:mergeCell ref="A16:F16"/>
    <x:mergeCell ref="A17:F17"/>
    <x:mergeCell ref="A18:F18"/>
    <x:mergeCell ref="A19:F19"/>
    <x:mergeCell ref="A20:F20"/>
    <x:mergeCell ref="A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13.130000114440918" hidden="0" customWidth="1"/>
    <x:col min="3" max="3" width="14.380000114440918" hidden="0" customWidth="1"/>
    <x:col min="4" max="4" width="13.130000114440918" hidden="0" customWidth="1"/>
    <x:col min="5" max="5" width="11.25" hidden="0" customWidth="1"/>
    <x:col min="6" max="6" width="13.130000114440918" hidden="0" customWidth="1"/>
    <x:col min="7" max="7" width="32.5" hidden="0" customWidth="1"/>
    <x:col min="8" max="8" width="47.5" hidden="0" customWidth="1"/>
    <x:col min="9" max="9" width="22.5" hidden="0" customWidth="1"/>
    <x:col min="10" max="10" width="18.1299991607666" hidden="0" customWidth="1"/>
    <x:col min="11" max="11" width="23.75" hidden="0" customWidth="1"/>
  </x:cols>
  <x:sheetData>
    <x:row r="1">
      <x:c r="A1" s="18" t="str">
        <x:v>Grade outcome</x:v>
      </x:c>
      <x:c r="B1" s="18" t="str">
        <x:v>Probability</x:v>
      </x:c>
      <x:c r="C1" s="18" t="str">
        <x:v>Population count</x:v>
      </x:c>
      <x:c r="D1" s="18" t="str">
        <x:v>Item price</x:v>
      </x:c>
      <x:c r="E1" s="18" t="str">
        <x:v>Shipping</x:v>
      </x:c>
      <x:c r="F1" s="18" t="str">
        <x:v>Sale total</x:v>
      </x:c>
      <x:c r="G1" s="18" t="str">
        <x:v>Value source</x:v>
      </x:c>
      <x:c r="H1" s="18" t="str">
        <x:v>Notes</x:v>
      </x:c>
      <x:c r="I1" s="18" t="str">
        <x:v>Expected gross contribution</x:v>
      </x:c>
      <x:c r="J1" s="18" t="str">
        <x:v>Fee contribution</x:v>
      </x:c>
      <x:c r="K1" s="18" t="str">
        <x:v>Expected net before grading cost</x:v>
      </x:c>
    </x:row>
    <x:row r="2">
      <x:c r="A2" s="19" t="str">
        <x:v>BGS 7</x:v>
      </x:c>
      <x:c r="B2" s="20" t="n">
        <x:v>0</x:v>
      </x:c>
      <x:c r="C2" s="19" t="n">
        <x:v>0</x:v>
      </x:c>
      <x:c r="D2" s="21" t="n">
        <x:v>8</x:v>
      </x:c>
      <x:c r="E2" s="21" t="n">
        <x:v>5</x:v>
      </x:c>
      <x:c r="F2" s="21" t="n">
        <x:f>D2+E2</x:f>
        <x:v>13</x:v>
      </x:c>
      <x:c r="G2" s="19" t="str">
        <x:v>Fallback to Japanese raw value</x:v>
      </x:c>
      <x:c r="H2" s="19" t="str">
        <x:v>No BGS low-grade price seeded</x:v>
      </x:c>
      <x:c r="I2" s="21" t="n">
        <x:f>B2*F2</x:f>
        <x:v>0</x:v>
      </x:c>
      <x:c r="J2" s="21" t="n">
        <x:f>I2*Summary!$B$7</x:f>
        <x:v>0</x:v>
      </x:c>
      <x:c r="K2" s="21" t="n">
        <x:f>I2-J2</x:f>
        <x:v>0</x:v>
      </x:c>
    </x:row>
    <x:row r="3">
      <x:c r="A3" s="19" t="str">
        <x:v>BGS 7.5</x:v>
      </x:c>
      <x:c r="B3" s="20" t="n">
        <x:v>0.01</x:v>
      </x:c>
      <x:c r="C3" s="19" t="n">
        <x:v>1</x:v>
      </x:c>
      <x:c r="D3" s="21" t="n">
        <x:v>8</x:v>
      </x:c>
      <x:c r="E3" s="21" t="n">
        <x:v>5</x:v>
      </x:c>
      <x:c r="F3" s="21" t="n">
        <x:f>D3+E3</x:f>
        <x:v>13</x:v>
      </x:c>
      <x:c r="G3" s="19" t="str">
        <x:v>Fallback to Japanese raw value</x:v>
      </x:c>
      <x:c r="H3" s="19" t="str">
        <x:v>Low-grade fallback</x:v>
      </x:c>
      <x:c r="I3" s="21" t="n">
        <x:f>B3*F3</x:f>
        <x:v>0.13</x:v>
      </x:c>
      <x:c r="J3" s="21" t="n">
        <x:f>I3*Summary!$B$7</x:f>
        <x:v>0.017225</x:v>
      </x:c>
      <x:c r="K3" s="21" t="n">
        <x:f>I3-J3</x:f>
        <x:v>0.112775</x:v>
      </x:c>
    </x:row>
    <x:row r="4">
      <x:c r="A4" s="19" t="str">
        <x:v>BGS 8</x:v>
      </x:c>
      <x:c r="B4" s="20" t="n">
        <x:v>0</x:v>
      </x:c>
      <x:c r="C4" s="19" t="n">
        <x:v>0</x:v>
      </x:c>
      <x:c r="D4" s="21" t="n">
        <x:v>8</x:v>
      </x:c>
      <x:c r="E4" s="21" t="n">
        <x:v>5</x:v>
      </x:c>
      <x:c r="F4" s="21" t="n">
        <x:f>D4+E4</x:f>
        <x:v>13</x:v>
      </x:c>
      <x:c r="G4" s="19" t="str">
        <x:v>Fallback to Japanese raw value</x:v>
      </x:c>
      <x:c r="H4" s="19" t="str">
        <x:v>Low-grade fallback</x:v>
      </x:c>
      <x:c r="I4" s="21" t="n">
        <x:f>B4*F4</x:f>
        <x:v>0</x:v>
      </x:c>
      <x:c r="J4" s="21" t="n">
        <x:f>I4*Summary!$B$7</x:f>
        <x:v>0</x:v>
      </x:c>
      <x:c r="K4" s="21" t="n">
        <x:f>I4-J4</x:f>
        <x:v>0</x:v>
      </x:c>
    </x:row>
    <x:row r="5">
      <x:c r="A5" s="19" t="str">
        <x:v>BGS 8.5</x:v>
      </x:c>
      <x:c r="B5" s="20" t="n">
        <x:v>0</x:v>
      </x:c>
      <x:c r="C5" s="19" t="n">
        <x:v>0</x:v>
      </x:c>
      <x:c r="D5" s="21" t="n">
        <x:v>8</x:v>
      </x:c>
      <x:c r="E5" s="21" t="n">
        <x:v>5</x:v>
      </x:c>
      <x:c r="F5" s="21" t="n">
        <x:f>D5+E5</x:f>
        <x:v>13</x:v>
      </x:c>
      <x:c r="G5" s="19" t="str">
        <x:v>Fallback to Japanese raw value</x:v>
      </x:c>
      <x:c r="H5" s="19" t="str">
        <x:v>Low-grade fallback</x:v>
      </x:c>
      <x:c r="I5" s="21" t="n">
        <x:f>B5*F5</x:f>
        <x:v>0</x:v>
      </x:c>
      <x:c r="J5" s="21" t="n">
        <x:f>I5*Summary!$B$7</x:f>
        <x:v>0</x:v>
      </x:c>
      <x:c r="K5" s="21" t="n">
        <x:f>I5-J5</x:f>
        <x:v>0</x:v>
      </x:c>
    </x:row>
    <x:row r="6">
      <x:c r="A6" s="19" t="str">
        <x:v>BGS 9</x:v>
      </x:c>
      <x:c r="B6" s="20" t="n">
        <x:v>0.057</x:v>
      </x:c>
      <x:c r="C6" s="19" t="n">
        <x:v>6</x:v>
      </x:c>
      <x:c r="D6" s="21" t="n">
        <x:v>8</x:v>
      </x:c>
      <x:c r="E6" s="21" t="n">
        <x:v>5</x:v>
      </x:c>
      <x:c r="F6" s="21" t="n">
        <x:f>D6+E6</x:f>
        <x:v>13</x:v>
      </x:c>
      <x:c r="G6" s="19" t="str">
        <x:v>Fallback to Japanese raw value</x:v>
      </x:c>
      <x:c r="H6" s="19" t="str">
        <x:v>No BGS 9 price seeded</x:v>
      </x:c>
      <x:c r="I6" s="21" t="n">
        <x:f>B6*F6</x:f>
        <x:v>0.741</x:v>
      </x:c>
      <x:c r="J6" s="21" t="n">
        <x:f>I6*Summary!$B$7</x:f>
        <x:v>0.0981825</x:v>
      </x:c>
      <x:c r="K6" s="21" t="n">
        <x:f>I6-J6</x:f>
        <x:v>0.6428175</x:v>
      </x:c>
    </x:row>
    <x:row r="7">
      <x:c r="A7" s="19" t="str">
        <x:v>BGS 9.5</x:v>
      </x:c>
      <x:c r="B7" s="20" t="n">
        <x:v>0.733</x:v>
      </x:c>
      <x:c r="C7" s="19" t="n">
        <x:v>77</x:v>
      </x:c>
      <x:c r="D7" s="21" t="n">
        <x:v>20.12</x:v>
      </x:c>
      <x:c r="E7" s="21" t="n">
        <x:v>5</x:v>
      </x:c>
      <x:c r="F7" s="21" t="n">
        <x:f>D7+E7</x:f>
        <x:v>25.12</x:v>
      </x:c>
      <x:c r="G7" s="19" t="str">
        <x:v>Verified BGS 9.5 sold comp average</x:v>
      </x:c>
      <x:c r="H7" s="19" t="str">
        <x:v>Average of explicit-title BGS 9.5 sales: $23.99 and $16.26</x:v>
      </x:c>
      <x:c r="I7" s="21" t="n">
        <x:f>B7*F7</x:f>
        <x:v>18.41296</x:v>
      </x:c>
      <x:c r="J7" s="21" t="n">
        <x:f>I7*Summary!$B$7</x:f>
        <x:v>2.4397172000000005</x:v>
      </x:c>
      <x:c r="K7" s="21" t="n">
        <x:f>I7-J7</x:f>
        <x:v>15.973242800000001</x:v>
      </x:c>
    </x:row>
    <x:row r="8">
      <x:c r="A8" s="19" t="str">
        <x:v>BGS 10 Pristine</x:v>
      </x:c>
      <x:c r="B8" s="20" t="n">
        <x:v>0.181</x:v>
      </x:c>
      <x:c r="C8" s="19" t="n">
        <x:v>19</x:v>
      </x:c>
      <x:c r="D8" s="21" t="n">
        <x:v>36.37</x:v>
      </x:c>
      <x:c r="E8" s="21" t="n">
        <x:v>5</x:v>
      </x:c>
      <x:c r="F8" s="21" t="n">
        <x:f>D8+E8</x:f>
        <x:v>41.37</x:v>
      </x:c>
      <x:c r="G8" s="19" t="str">
        <x:v>PriceCharting BGS 10 estimate</x:v>
      </x:c>
      <x:c r="H8" s="19" t="str">
        <x:v>Guide estimate, not yet independently verified</x:v>
      </x:c>
      <x:c r="I8" s="21" t="n">
        <x:f>B8*F8</x:f>
        <x:v>7.487969999999999</x:v>
      </x:c>
      <x:c r="J8" s="21" t="n">
        <x:f>I8*Summary!$B$7</x:f>
        <x:v>0.9921560249999999</x:v>
      </x:c>
      <x:c r="K8" s="21" t="n">
        <x:f>I8-J8</x:f>
        <x:v>6.495813974999999</x:v>
      </x:c>
    </x:row>
    <x:row r="9">
      <x:c r="A9" s="19" t="str">
        <x:v>BGS 10 Black Label</x:v>
      </x:c>
      <x:c r="B9" s="20" t="n">
        <x:v>0.019</x:v>
      </x:c>
      <x:c r="C9" s="19" t="n">
        <x:v>2</x:v>
      </x:c>
      <x:c r="D9" s="21" t="n">
        <x:v>306</x:v>
      </x:c>
      <x:c r="E9" s="21" t="n">
        <x:v>5</x:v>
      </x:c>
      <x:c r="F9" s="21" t="n">
        <x:f>D9+E9</x:f>
        <x:v>311</x:v>
      </x:c>
      <x:c r="G9" s="19" t="str">
        <x:v>PriceCharting BGS Black Label estimate</x:v>
      </x:c>
      <x:c r="H9" s="19" t="str">
        <x:v>High-upside thin-market estimate</x:v>
      </x:c>
      <x:c r="I9" s="21" t="n">
        <x:f>B9*F9</x:f>
        <x:v>5.909</x:v>
      </x:c>
      <x:c r="J9" s="21" t="n">
        <x:f>I9*Summary!$B$7</x:f>
        <x:v>0.7829425</x:v>
      </x:c>
      <x:c r="K9" s="21" t="n">
        <x:f>I9-J9</x:f>
        <x:v>5.1260575</x:v>
      </x:c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21"/>
      <x:c r="J10" s="21"/>
      <x:c r="K10" s="21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21"/>
      <x:c r="J11" s="21"/>
      <x:c r="K11" s="21"/>
    </x:row>
    <x:row r="12">
      <x:c r="A12" s="19"/>
      <x:c r="B12" s="19"/>
      <x:c r="C12" s="19"/>
      <x:c r="D12" s="19"/>
      <x:c r="E12" s="19"/>
      <x:c r="F12" s="19"/>
      <x:c r="G12" s="19"/>
      <x:c r="H12" s="19" t="str">
        <x:v>Totals</x:v>
      </x:c>
      <x:c r="I12" s="21" t="n">
        <x:f>SUM(I2:I9)</x:f>
        <x:v>32.68093</x:v>
      </x:c>
      <x:c r="J12" s="21" t="n">
        <x:f>SUM(J2:J9)</x:f>
        <x:v>4.330223225</x:v>
      </x:c>
      <x:c r="K12" s="21" t="n">
        <x:f>SUM(K2:K9)</x:f>
        <x:v>28.350706775</x:v>
      </x:c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</x:row>
    <x:row r="14">
      <x:c r="A14" s="13" t="str">
        <x:v>Grade outcome</x:v>
      </x:c>
      <x:c r="B14" s="13" t="str">
        <x:v>Expected gross</x:v>
      </x:c>
      <x:c r="C14" s="13"/>
      <x:c r="D14" s="13"/>
      <x:c r="E14" s="13"/>
      <x:c r="F14" s="13"/>
      <x:c r="G14" s="13"/>
      <x:c r="H14" s="13"/>
      <x:c r="I14" s="13"/>
      <x:c r="J14" s="13"/>
      <x:c r="K14" s="13"/>
    </x:row>
    <x:row r="15">
      <x:c r="A15" s="13" t="str">
        <x:f>A2</x:f>
        <x:v>BGS 7</x:v>
      </x:c>
      <x:c r="B15" s="13" t="n">
        <x:f>I2</x:f>
        <x:v>0</x:v>
      </x:c>
      <x:c r="C15" s="13"/>
      <x:c r="D15" s="13"/>
      <x:c r="E15" s="13"/>
      <x:c r="F15" s="13"/>
      <x:c r="G15" s="13"/>
      <x:c r="H15" s="13"/>
      <x:c r="I15" s="13"/>
      <x:c r="J15" s="13"/>
      <x:c r="K15" s="13"/>
    </x:row>
    <x:row r="16">
      <x:c r="A16" s="13" t="str">
        <x:f>A3</x:f>
        <x:v>BGS 7.5</x:v>
      </x:c>
      <x:c r="B16" s="13" t="n">
        <x:f>I3</x:f>
        <x:v>0.13</x:v>
      </x:c>
      <x:c r="C16" s="13"/>
      <x:c r="D16" s="13"/>
      <x:c r="E16" s="13"/>
      <x:c r="F16" s="13"/>
      <x:c r="G16" s="13"/>
      <x:c r="H16" s="13"/>
      <x:c r="I16" s="13"/>
      <x:c r="J16" s="13"/>
      <x:c r="K16" s="13"/>
    </x:row>
    <x:row r="17">
      <x:c r="A17" s="13" t="str">
        <x:f>A4</x:f>
        <x:v>BGS 8</x:v>
      </x:c>
      <x:c r="B17" s="13" t="n">
        <x:f>I4</x:f>
        <x:v>0</x:v>
      </x:c>
      <x:c r="C17" s="13"/>
      <x:c r="D17" s="13"/>
      <x:c r="E17" s="13"/>
      <x:c r="F17" s="13"/>
      <x:c r="G17" s="13"/>
      <x:c r="H17" s="13"/>
      <x:c r="I17" s="13"/>
      <x:c r="J17" s="13"/>
      <x:c r="K17" s="13"/>
    </x:row>
    <x:row r="18">
      <x:c r="A18" s="13" t="str">
        <x:f>A5</x:f>
        <x:v>BGS 8.5</x:v>
      </x:c>
      <x:c r="B18" s="13" t="n">
        <x:f>I5</x:f>
        <x:v>0</x:v>
      </x:c>
      <x:c r="C18" s="13"/>
      <x:c r="D18" s="13"/>
      <x:c r="E18" s="13"/>
      <x:c r="F18" s="13"/>
      <x:c r="G18" s="13"/>
      <x:c r="H18" s="13"/>
      <x:c r="I18" s="13"/>
      <x:c r="J18" s="13"/>
      <x:c r="K18" s="13"/>
    </x:row>
    <x:row r="19">
      <x:c r="A19" s="13" t="str">
        <x:f>A6</x:f>
        <x:v>BGS 9</x:v>
      </x:c>
      <x:c r="B19" s="13" t="n">
        <x:f>I6</x:f>
        <x:v>0.741</x:v>
      </x:c>
      <x:c r="C19" s="13"/>
      <x:c r="D19" s="13"/>
      <x:c r="E19" s="13"/>
      <x:c r="F19" s="13"/>
      <x:c r="G19" s="13"/>
      <x:c r="H19" s="13"/>
      <x:c r="I19" s="13"/>
      <x:c r="J19" s="13"/>
      <x:c r="K19" s="13"/>
    </x:row>
    <x:row r="20">
      <x:c r="A20" s="13" t="str">
        <x:f>A7</x:f>
        <x:v>BGS 9.5</x:v>
      </x:c>
      <x:c r="B20" s="13" t="n">
        <x:f>I7</x:f>
        <x:v>18.41296</x:v>
      </x:c>
      <x:c r="C20" s="13"/>
      <x:c r="D20" s="13"/>
      <x:c r="E20" s="13"/>
      <x:c r="F20" s="13"/>
      <x:c r="G20" s="13"/>
      <x:c r="H20" s="13"/>
      <x:c r="I20" s="13"/>
      <x:c r="J20" s="13"/>
      <x:c r="K20" s="13"/>
    </x:row>
    <x:row r="21">
      <x:c r="A21" s="13" t="str">
        <x:f>A8</x:f>
        <x:v>BGS 10 Pristine</x:v>
      </x:c>
      <x:c r="B21" s="13" t="n">
        <x:f>I8</x:f>
        <x:v>7.487969999999999</x:v>
      </x:c>
      <x:c r="C21" s="13"/>
      <x:c r="D21" s="13"/>
      <x:c r="E21" s="13"/>
      <x:c r="F21" s="13"/>
      <x:c r="G21" s="13"/>
      <x:c r="H21" s="13"/>
      <x:c r="I21" s="13"/>
      <x:c r="J21" s="13"/>
      <x:c r="K21" s="13"/>
    </x:row>
    <x:row r="22">
      <x:c r="A22" s="13" t="str">
        <x:f>A9</x:f>
        <x:v>BGS 10 Black Label</x:v>
      </x:c>
      <x:c r="B22" s="13" t="n">
        <x:f>I9</x:f>
        <x:v>5.909</x:v>
      </x:c>
      <x:c r="C22" s="13"/>
      <x:c r="D22" s="13"/>
      <x:c r="E22" s="13"/>
      <x:c r="F22" s="13"/>
      <x:c r="G22" s="13"/>
      <x:c r="H22" s="13"/>
      <x:c r="I22" s="13"/>
      <x:c r="J22" s="13"/>
      <x:c r="K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</x:row>
  </x:sheetData>
  <x:pageMargins left="0.7" right="0.7" top="0.75" bottom="0.75" header="0.3" footer="0.3"/>
  <x:drawing xmlns:r="http://schemas.openxmlformats.org/officeDocument/2006/relationships" r:id="R279545fbd54542f8"/>
</x:worksheet>
</file>

<file path=xl/worksheets/sheet3.xml><?xml version="1.0" encoding="utf-8"?>
<x:worksheet xmlns:x="http://schemas.openxmlformats.org/spreadsheetml/2006/main">
  <x:sheetFormatPr defaultRowHeight="15"/>
  <x:cols>
    <x:col min="1" max="1" width="28.75" hidden="0" customWidth="1"/>
    <x:col min="2" max="2" width="35" hidden="0" customWidth="1"/>
    <x:col min="3" max="3" width="22.5" hidden="0" customWidth="1"/>
    <x:col min="4" max="4" width="70" hidden="0" customWidth="1"/>
  </x:cols>
  <x:sheetData>
    <x:row r="1">
      <x:c r="A1" s="18" t="str">
        <x:v>Input</x:v>
      </x:c>
      <x:c r="B1" s="18" t="str">
        <x:v>Source</x:v>
      </x:c>
      <x:c r="C1" s="18" t="str">
        <x:v>Value</x:v>
      </x:c>
      <x:c r="D1" s="18" t="str">
        <x:v>Notes</x:v>
      </x:c>
      <x:c r="E1" s="13"/>
      <x:c r="F1" s="13"/>
      <x:c r="G1" s="13"/>
      <x:c r="H1" s="13"/>
      <x:c r="I1" s="13"/>
      <x:c r="J1" s="13"/>
      <x:c r="K1" s="13"/>
    </x:row>
    <x:row r="2">
      <x:c r="A2" s="19" t="str">
        <x:v>Raw Chinese sale baseline</x:v>
      </x:c>
      <x:c r="B2" s="19" t="str">
        <x:v>Manual scenario input</x:v>
      </x:c>
      <x:c r="C2" s="19" t="str">
        <x:v>$11.00</x:v>
      </x:c>
      <x:c r="D2" s="19" t="str">
        <x:v>User-provided baseline for raw S-Chinese Houndoom</x:v>
      </x:c>
      <x:c r="E2" s="13"/>
      <x:c r="F2" s="13"/>
      <x:c r="G2" s="13"/>
      <x:c r="H2" s="13"/>
      <x:c r="I2" s="13"/>
      <x:c r="J2" s="13"/>
      <x:c r="K2" s="13"/>
    </x:row>
    <x:row r="3">
      <x:c r="A3" s="19" t="str">
        <x:v>Japanese BGS population prior</x:v>
      </x:c>
      <x:c r="B3" s="19" t="str">
        <x:v>GemRate public Beckett-style table</x:v>
      </x:c>
      <x:c r="C3" s="19" t="str">
        <x:v>105 total BGS submissions</x:v>
      </x:c>
      <x:c r="D3" s="19" t="str">
        <x:v>Used as closest current print-quality prior for S-Chinese</x:v>
      </x:c>
      <x:c r="E3" s="13"/>
      <x:c r="F3" s="13"/>
      <x:c r="G3" s="13"/>
      <x:c r="H3" s="13"/>
      <x:c r="I3" s="13"/>
      <x:c r="J3" s="13"/>
      <x:c r="K3" s="13"/>
    </x:row>
    <x:row r="4">
      <x:c r="A4" s="19" t="str">
        <x:v>Japanese raw value</x:v>
      </x:c>
      <x:c r="B4" s="19" t="str">
        <x:v>PriceCharting</x:v>
      </x:c>
      <x:c r="C4" s="19" t="str">
        <x:v>$8.00</x:v>
      </x:c>
      <x:c r="D4" s="19" t="str">
        <x:v>Used as fallback for BGS 9 or lower outcomes</x:v>
      </x:c>
      <x:c r="E4" s="13"/>
      <x:c r="F4" s="13"/>
      <x:c r="G4" s="13"/>
      <x:c r="H4" s="13"/>
      <x:c r="I4" s="13"/>
      <x:c r="J4" s="13"/>
      <x:c r="K4" s="13"/>
    </x:row>
    <x:row r="5">
      <x:c r="A5" s="19" t="str">
        <x:v>Japanese BGS 9.5</x:v>
      </x:c>
      <x:c r="B5" s="19" t="str">
        <x:v>eBay sold comps via PriceCharting</x:v>
      </x:c>
      <x:c r="C5" s="19" t="str">
        <x:v>$20.12 average</x:v>
      </x:c>
      <x:c r="D5" s="19" t="str">
        <x:v>Only explicit-title BGS 9.5 sales used</x:v>
      </x:c>
      <x:c r="E5" s="13"/>
      <x:c r="F5" s="13"/>
      <x:c r="G5" s="13"/>
      <x:c r="H5" s="13"/>
      <x:c r="I5" s="13"/>
      <x:c r="J5" s="13"/>
      <x:c r="K5" s="13"/>
    </x:row>
    <x:row r="6">
      <x:c r="A6" s="19" t="str">
        <x:v>Japanese BGS 10</x:v>
      </x:c>
      <x:c r="B6" s="19" t="str">
        <x:v>PriceCharting</x:v>
      </x:c>
      <x:c r="C6" s="19" t="str">
        <x:v>$36.37</x:v>
      </x:c>
      <x:c r="D6" s="19" t="str">
        <x:v>Used as BGS Pristine 10 provisional value</x:v>
      </x:c>
      <x:c r="E6" s="13"/>
      <x:c r="F6" s="13"/>
      <x:c r="G6" s="13"/>
      <x:c r="H6" s="13"/>
      <x:c r="I6" s="13"/>
      <x:c r="J6" s="13"/>
      <x:c r="K6" s="13"/>
    </x:row>
    <x:row r="7">
      <x:c r="A7" s="19" t="str">
        <x:v>Japanese BGS Black Label</x:v>
      </x:c>
      <x:c r="B7" s="19" t="str">
        <x:v>PriceCharting</x:v>
      </x:c>
      <x:c r="C7" s="19" t="str">
        <x:v>$306.00</x:v>
      </x:c>
      <x:c r="D7" s="19" t="str">
        <x:v>Used as BGS Black Label provisional value</x:v>
      </x:c>
      <x:c r="E7" s="13"/>
      <x:c r="F7" s="13"/>
      <x:c r="G7" s="13"/>
      <x:c r="H7" s="13"/>
      <x:c r="I7" s="13"/>
      <x:c r="J7" s="13"/>
      <x:c r="K7" s="13"/>
    </x:row>
    <x:row r="8">
      <x:c r="A8" s="19" t="str">
        <x:v>Graded sale shipping</x:v>
      </x:c>
      <x:c r="B8" s="19" t="str">
        <x:v>Manual scenario input</x:v>
      </x:c>
      <x:c r="C8" s="19" t="str">
        <x:v>$5.00</x:v>
      </x:c>
      <x:c r="D8" s="19" t="str">
        <x:v>Added to graded sale total before marketplace fee</x:v>
      </x:c>
      <x:c r="E8" s="13"/>
      <x:c r="F8" s="13"/>
      <x:c r="G8" s="13"/>
      <x:c r="H8" s="13"/>
      <x:c r="I8" s="13"/>
      <x:c r="J8" s="13"/>
      <x:c r="K8" s="13"/>
    </x:row>
    <x:row r="9">
      <x:c r="A9" s="19" t="str">
        <x:v>BGS Bulk profile</x:v>
      </x:c>
      <x:c r="B9" s="19" t="str">
        <x:v>Local grading profile</x:v>
      </x:c>
      <x:c r="C9" s="19" t="str">
        <x:v>$18.25 total cost</x:v>
      </x:c>
      <x:c r="D9" s="19" t="str">
        <x:v>$15 grading + $1.25 inbound + $2 return</x:v>
      </x:c>
      <x:c r="E9" s="13"/>
      <x:c r="F9" s="13"/>
      <x:c r="G9" s="13"/>
      <x:c r="H9" s="13"/>
      <x:c r="I9" s="13"/>
      <x:c r="J9" s="13"/>
      <x:c r="K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</x:row>
  </x:sheetData>
  <x:pageMargins left="0.7" right="0.7" top="0.75" bottom="0.75" header="0.3" footer="0.3"/>
</x:worksheet>
</file>